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egra\MyPython\ERP_3\assets\other\"/>
    </mc:Choice>
  </mc:AlternateContent>
  <xr:revisionPtr revIDLastSave="0" documentId="8_{48829081-8D93-4B1F-B0B5-EA226E53E14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Invoice" sheetId="5" r:id="rId1"/>
    <sheet name="Sheet1" sheetId="6" r:id="rId2"/>
  </sheets>
  <definedNames>
    <definedName name="Additional_discount">Invoice!$F$28</definedName>
    <definedName name="AmountForDiscount">Invoice!$F$9</definedName>
    <definedName name="Balance_due">(subtotal-IF(Additional_discount&gt;0,Additional_discount*subtotal,0))+(IF(Additional_discount&gt;0,subtotal-(Additional_discount*subtotal),subtotal)*Tax)-Credit</definedName>
    <definedName name="Bill_To_address">Invoice!$B$9</definedName>
    <definedName name="ColumnTitle1">Invoice!$B$15</definedName>
    <definedName name="ColumnTitleRegion1..B12.1">Invoice!$B$8</definedName>
    <definedName name="Credit">Invoice!$F$26</definedName>
    <definedName name="Current_Amount_Due">Invoice!$F$29</definedName>
    <definedName name="Date">Invoice!$F$2</definedName>
    <definedName name="Discount">Invoice!$F$27</definedName>
    <definedName name="Discount_applied">IF(Invoice!$B1*Invoice!$D1&gt;AmountForDiscount,1,0)</definedName>
    <definedName name="DiscountPercent">Invoice!$F$11</definedName>
    <definedName name="Invoice_num">Invoice!$F$3</definedName>
    <definedName name="Paid">Invoice!$F$28</definedName>
    <definedName name="PO_num">Invoice!$F$4</definedName>
    <definedName name="_xlnm.Print_Titles" localSheetId="0">Invoice!$15:$15</definedName>
    <definedName name="Quantity_1">Invoice!$B$16</definedName>
    <definedName name="Quantity_2">Invoice!$B$17</definedName>
    <definedName name="Quantity_3">Invoice!$B$18</definedName>
    <definedName name="Quantity_4">Invoice!$C$19</definedName>
    <definedName name="RowTitleRegion1..F4">Invoice!$E$2</definedName>
    <definedName name="RowTitleRegion2..F10">Invoice!$D$9</definedName>
    <definedName name="RowTitleRegion3..E29">Invoice!$E$26</definedName>
    <definedName name="Ship_To__If_different_than_billing">Invoice!$E$9</definedName>
    <definedName name="Shipping">Invoice!$F$26</definedName>
    <definedName name="subtotal">Invoice!$F$25</definedName>
    <definedName name="Tax">Invoice!$F$27</definedName>
    <definedName name="tracking_terms">Invoice!$D$10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5" l="1"/>
  <c r="F23" i="5"/>
  <c r="F22" i="5"/>
  <c r="F21" i="5"/>
  <c r="F20" i="5"/>
  <c r="F19" i="5"/>
  <c r="F18" i="5"/>
  <c r="F17" i="5"/>
  <c r="F2" i="5"/>
  <c r="F16" i="5"/>
  <c r="F25" i="5" s="1"/>
  <c r="F29" i="5" s="1"/>
  <c r="F26" i="5"/>
</calcChain>
</file>

<file path=xl/sharedStrings.xml><?xml version="1.0" encoding="utf-8"?>
<sst xmlns="http://schemas.openxmlformats.org/spreadsheetml/2006/main" count="26" uniqueCount="26">
  <si>
    <t>Date</t>
  </si>
  <si>
    <t>Invoice #</t>
  </si>
  <si>
    <t>Quantity</t>
  </si>
  <si>
    <t>Unit price</t>
  </si>
  <si>
    <t>Amount</t>
  </si>
  <si>
    <t>Subtotal</t>
  </si>
  <si>
    <t>Description</t>
  </si>
  <si>
    <t>For</t>
  </si>
  <si>
    <t>COMMERCIAL INVOICE</t>
  </si>
  <si>
    <t>Authorized Signatory:</t>
  </si>
  <si>
    <t>jegrams@mana-organics.com</t>
  </si>
  <si>
    <t>Payable to:  Mana USA
Account Name: Arete Imports, LLC (DBA Mana USA)
Account No. : 206389223
Routing No: 3222-7172-4
Bank Name: Citi Bank
Branch: 0274 Costa Mesa-Harbor, 
             2700 Harbor Blvd, Costa Mesa, CA 92626
Swift Code: CITIUS33
Intemediarary bank: 0210-008-9</t>
  </si>
  <si>
    <t>Shipping</t>
  </si>
  <si>
    <t>THANK YOU FOR YOUR BUSINESS!</t>
  </si>
  <si>
    <t>John Grams</t>
  </si>
  <si>
    <t>Unit</t>
  </si>
  <si>
    <t xml:space="preserve">Current Amount Due </t>
  </si>
  <si>
    <t>Paid</t>
  </si>
  <si>
    <t>Mana USA, LLC</t>
  </si>
  <si>
    <t>Phone: (949) 216-0460</t>
  </si>
  <si>
    <t>3237 Minnesota Ave</t>
  </si>
  <si>
    <t>Costa Mesa, CA 92626</t>
  </si>
  <si>
    <t>Bill To:</t>
  </si>
  <si>
    <t>Terms and Tracking</t>
  </si>
  <si>
    <t>Ship To (If different than billing)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</si>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</sst>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"/>
    <numFmt numFmtId="165" formatCode="[&lt;=9999999]###\-####;\(###\)\ ###\-####"/>
    <numFmt numFmtId="166" formatCode="&quot;Discount applied&quot;;&quot;&quot;;&quot;&quot;"/>
  </numFmts>
  <fonts count="17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26"/>
      <color theme="5"/>
      <name val="Arial"/>
      <family val="2"/>
      <scheme val="major"/>
    </font>
    <font>
      <b/>
      <sz val="12"/>
      <color theme="3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  <scheme val="minor"/>
    </font>
    <font>
      <b/>
      <sz val="11"/>
      <color theme="3"/>
      <name val="Arial"/>
      <family val="2"/>
      <scheme val="major"/>
    </font>
    <font>
      <b/>
      <sz val="11"/>
      <color theme="0"/>
      <name val="Arial"/>
      <family val="2"/>
      <scheme val="minor"/>
    </font>
    <font>
      <sz val="26"/>
      <color theme="1" tint="0.34998626667073579"/>
      <name val="Arial"/>
      <family val="2"/>
      <scheme val="major"/>
    </font>
    <font>
      <b/>
      <sz val="11"/>
      <color theme="1"/>
      <name val="Arial"/>
      <family val="2"/>
      <scheme val="minor"/>
    </font>
    <font>
      <b/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  <fill>
      <patternFill patternType="solid">
        <fgColor theme="2" tint="-0.249977111117893"/>
        <bgColor theme="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6" tint="0.39997558519241921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4"/>
      </bottom>
      <diagonal/>
    </border>
    <border>
      <left/>
      <right/>
      <top style="thin">
        <color theme="2" tint="-9.9978637043366805E-2"/>
      </top>
      <bottom style="double">
        <color theme="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double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2" tint="-9.9978637043366805E-2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</borders>
  <cellStyleXfs count="21">
    <xf numFmtId="0" fontId="0" fillId="0" borderId="0">
      <alignment horizontal="left" vertical="center" wrapText="1" indent="1"/>
    </xf>
    <xf numFmtId="9" fontId="10" fillId="0" borderId="0" applyFont="0" applyFill="0" applyBorder="0" applyAlignment="0" applyProtection="0"/>
    <xf numFmtId="0" fontId="6" fillId="0" borderId="0" applyNumberFormat="0" applyFill="0" applyBorder="0" applyProtection="0">
      <alignment horizontal="right" vertical="center"/>
    </xf>
    <xf numFmtId="0" fontId="7" fillId="0" borderId="0" applyNumberFormat="0" applyFill="0" applyProtection="0">
      <alignment horizontal="right" vertical="center"/>
    </xf>
    <xf numFmtId="0" fontId="8" fillId="2" borderId="1" applyNumberFormat="0" applyProtection="0">
      <alignment horizontal="left" indent="1"/>
    </xf>
    <xf numFmtId="0" fontId="12" fillId="0" borderId="0" applyNumberFormat="0" applyFill="0" applyBorder="0" applyProtection="0">
      <alignment horizontal="right" vertical="center" wrapText="1"/>
    </xf>
    <xf numFmtId="0" fontId="9" fillId="0" borderId="0" applyNumberFormat="0" applyFont="0" applyFill="0" applyBorder="0" applyProtection="0">
      <alignment horizontal="left" wrapText="1" indent="1"/>
    </xf>
    <xf numFmtId="14" fontId="9" fillId="0" borderId="0" applyNumberFormat="0">
      <alignment horizontal="right" vertical="center" wrapText="1"/>
    </xf>
    <xf numFmtId="0" fontId="7" fillId="3" borderId="2" applyNumberFormat="0" applyProtection="0">
      <alignment horizontal="right" vertical="center" indent="1"/>
    </xf>
    <xf numFmtId="0" fontId="9" fillId="4" borderId="0" applyNumberFormat="0" applyProtection="0">
      <alignment horizontal="left" vertical="center" wrapText="1" indent="1"/>
    </xf>
    <xf numFmtId="0" fontId="9" fillId="0" borderId="0" applyNumberFormat="0" applyFill="0" applyBorder="0" applyProtection="0">
      <alignment horizontal="left" vertical="top" wrapText="1" indent="1"/>
    </xf>
    <xf numFmtId="0" fontId="9" fillId="0" borderId="0" applyNumberFormat="0" applyFill="0" applyBorder="0" applyProtection="0">
      <alignment horizontal="left" vertical="top" wrapText="1" indent="1"/>
    </xf>
    <xf numFmtId="3" fontId="5" fillId="0" borderId="0" applyFont="0" applyFill="0" applyBorder="0" applyProtection="0">
      <alignment horizontal="center" vertical="center"/>
    </xf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2" applyNumberFormat="0" applyFont="0" applyAlignment="0" applyProtection="0"/>
    <xf numFmtId="14" fontId="9" fillId="0" borderId="0" applyFont="0" applyFill="0" applyBorder="0" applyAlignment="0"/>
    <xf numFmtId="165" fontId="9" fillId="0" borderId="0" applyFont="0" applyFill="0" applyBorder="0">
      <alignment horizontal="left" vertical="top" indent="1"/>
    </xf>
    <xf numFmtId="10" fontId="9" fillId="0" borderId="0" applyFont="0" applyFill="0" applyBorder="0" applyAlignment="0"/>
    <xf numFmtId="0" fontId="9" fillId="0" borderId="0" applyFont="0" applyFill="0" applyBorder="0">
      <alignment horizontal="right" vertical="center" indent="1"/>
    </xf>
    <xf numFmtId="166" fontId="9" fillId="0" borderId="0" applyFont="0" applyFill="0" applyBorder="0" applyAlignment="0"/>
  </cellStyleXfs>
  <cellXfs count="58">
    <xf numFmtId="0" fontId="0" fillId="0" borderId="0" xfId="0">
      <alignment horizontal="left" vertical="center" wrapText="1" indent="1"/>
    </xf>
    <xf numFmtId="14" fontId="9" fillId="0" borderId="0" xfId="16" applyAlignment="1">
      <alignment horizontal="right" vertical="center"/>
    </xf>
    <xf numFmtId="0" fontId="12" fillId="0" borderId="0" xfId="5">
      <alignment horizontal="right" vertical="center" wrapText="1"/>
    </xf>
    <xf numFmtId="0" fontId="11" fillId="0" borderId="0" xfId="9" applyFont="1" applyFill="1">
      <alignment horizontal="left" vertical="center" wrapText="1" indent="1"/>
    </xf>
    <xf numFmtId="0" fontId="15" fillId="0" borderId="0" xfId="0" applyFont="1" applyAlignment="1">
      <alignment horizontal="right" vertical="center"/>
    </xf>
    <xf numFmtId="0" fontId="15" fillId="0" borderId="7" xfId="0" applyFont="1" applyBorder="1" applyAlignment="1">
      <alignment horizontal="left" vertical="center" indent="1"/>
    </xf>
    <xf numFmtId="0" fontId="0" fillId="0" borderId="9" xfId="0" applyBorder="1">
      <alignment horizontal="left" vertical="center" wrapText="1" indent="1"/>
    </xf>
    <xf numFmtId="9" fontId="0" fillId="0" borderId="10" xfId="1" applyFont="1" applyBorder="1" applyAlignment="1">
      <alignment horizontal="right" vertical="center" indent="1"/>
    </xf>
    <xf numFmtId="44" fontId="15" fillId="0" borderId="4" xfId="13" applyFont="1" applyBorder="1" applyAlignment="1">
      <alignment horizontal="right" vertical="center"/>
    </xf>
    <xf numFmtId="0" fontId="12" fillId="0" borderId="6" xfId="5" applyBorder="1">
      <alignment horizontal="right" vertical="center" wrapText="1"/>
    </xf>
    <xf numFmtId="0" fontId="13" fillId="6" borderId="16" xfId="0" applyFont="1" applyFill="1" applyBorder="1">
      <alignment horizontal="left" vertical="center" wrapText="1" indent="1"/>
    </xf>
    <xf numFmtId="0" fontId="13" fillId="6" borderId="17" xfId="0" applyFont="1" applyFill="1" applyBorder="1">
      <alignment horizontal="left" vertical="center" wrapText="1" indent="1"/>
    </xf>
    <xf numFmtId="0" fontId="13" fillId="6" borderId="18" xfId="0" applyFont="1" applyFill="1" applyBorder="1">
      <alignment horizontal="left" vertical="center" wrapText="1" indent="1"/>
    </xf>
    <xf numFmtId="0" fontId="4" fillId="5" borderId="16" xfId="0" applyFont="1" applyFill="1" applyBorder="1">
      <alignment horizontal="left" vertical="center" wrapText="1" indent="1"/>
    </xf>
    <xf numFmtId="44" fontId="4" fillId="5" borderId="17" xfId="13" applyFont="1" applyFill="1" applyBorder="1" applyAlignment="1">
      <alignment horizontal="left" vertical="center" wrapText="1" indent="1"/>
    </xf>
    <xf numFmtId="0" fontId="4" fillId="0" borderId="16" xfId="0" applyFont="1" applyBorder="1">
      <alignment horizontal="left" vertical="center" wrapText="1" indent="1"/>
    </xf>
    <xf numFmtId="44" fontId="4" fillId="0" borderId="17" xfId="13" applyFont="1" applyBorder="1" applyAlignment="1">
      <alignment horizontal="left" vertical="center" wrapText="1" indent="1"/>
    </xf>
    <xf numFmtId="0" fontId="4" fillId="5" borderId="13" xfId="0" applyFont="1" applyFill="1" applyBorder="1">
      <alignment horizontal="left" vertical="center" wrapText="1" indent="1"/>
    </xf>
    <xf numFmtId="44" fontId="4" fillId="5" borderId="14" xfId="13" applyFont="1" applyFill="1" applyBorder="1" applyAlignment="1">
      <alignment horizontal="left" vertical="center" wrapText="1" indent="1"/>
    </xf>
    <xf numFmtId="44" fontId="4" fillId="5" borderId="18" xfId="0" applyNumberFormat="1" applyFont="1" applyFill="1" applyBorder="1">
      <alignment horizontal="left" vertical="center" wrapText="1" indent="1"/>
    </xf>
    <xf numFmtId="44" fontId="4" fillId="0" borderId="18" xfId="0" applyNumberFormat="1" applyFont="1" applyBorder="1">
      <alignment horizontal="left" vertical="center" wrapText="1" indent="1"/>
    </xf>
    <xf numFmtId="44" fontId="4" fillId="5" borderId="15" xfId="0" applyNumberFormat="1" applyFont="1" applyFill="1" applyBorder="1">
      <alignment horizontal="left" vertical="center" wrapText="1" indent="1"/>
    </xf>
    <xf numFmtId="0" fontId="4" fillId="5" borderId="3" xfId="0" applyFont="1" applyFill="1" applyBorder="1">
      <alignment horizontal="left" vertical="center" wrapText="1" indent="1"/>
    </xf>
    <xf numFmtId="0" fontId="4" fillId="0" borderId="5" xfId="0" applyFont="1" applyBorder="1">
      <alignment horizontal="left" vertical="center" wrapText="1" indent="1"/>
    </xf>
    <xf numFmtId="0" fontId="4" fillId="5" borderId="19" xfId="0" applyFont="1" applyFill="1" applyBorder="1">
      <alignment horizontal="left" vertical="center" wrapText="1" indent="1"/>
    </xf>
    <xf numFmtId="0" fontId="4" fillId="5" borderId="14" xfId="0" applyFont="1" applyFill="1" applyBorder="1">
      <alignment horizontal="left" vertical="center" wrapText="1" indent="1"/>
    </xf>
    <xf numFmtId="0" fontId="13" fillId="6" borderId="3" xfId="0" applyFont="1" applyFill="1" applyBorder="1">
      <alignment horizontal="left" vertical="center" wrapText="1" indent="1"/>
    </xf>
    <xf numFmtId="0" fontId="4" fillId="0" borderId="3" xfId="0" applyFont="1" applyBorder="1">
      <alignment horizontal="left" vertical="center" wrapText="1" indent="1"/>
    </xf>
    <xf numFmtId="44" fontId="0" fillId="0" borderId="12" xfId="13" applyFont="1" applyBorder="1" applyAlignment="1">
      <alignment horizontal="center" vertical="center"/>
    </xf>
    <xf numFmtId="44" fontId="15" fillId="8" borderId="12" xfId="13" applyFont="1" applyFill="1" applyBorder="1" applyAlignment="1">
      <alignment horizontal="right" vertical="center"/>
    </xf>
    <xf numFmtId="0" fontId="13" fillId="6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12" fillId="0" borderId="0" xfId="5" quotePrefix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>
      <alignment horizontal="left" vertical="center" wrapText="1" indent="1"/>
    </xf>
    <xf numFmtId="44" fontId="0" fillId="0" borderId="10" xfId="13" applyFont="1" applyBorder="1" applyAlignment="1">
      <alignment horizontal="right" vertical="center" indent="1"/>
    </xf>
    <xf numFmtId="49" fontId="0" fillId="0" borderId="0" xfId="7" applyNumberFormat="1" applyFont="1">
      <alignment horizontal="right" vertical="center" wrapText="1"/>
    </xf>
    <xf numFmtId="0" fontId="14" fillId="0" borderId="0" xfId="2" applyFont="1">
      <alignment horizontal="right" vertical="center"/>
    </xf>
    <xf numFmtId="0" fontId="7" fillId="0" borderId="0" xfId="3">
      <alignment horizontal="right" vertical="center"/>
    </xf>
    <xf numFmtId="0" fontId="1" fillId="5" borderId="3" xfId="0" applyFont="1" applyFill="1" applyBorder="1">
      <alignment horizontal="left" vertical="center" wrapText="1" indent="1"/>
    </xf>
    <xf numFmtId="0" fontId="11" fillId="0" borderId="6" xfId="9" applyFont="1" applyFill="1" applyBorder="1" applyAlignment="1">
      <alignment horizontal="left" vertical="center" wrapText="1"/>
    </xf>
    <xf numFmtId="165" fontId="0" fillId="0" borderId="20" xfId="17" applyFont="1" applyBorder="1" applyAlignment="1">
      <alignment horizontal="left" vertical="top" wrapText="1" indent="1"/>
    </xf>
    <xf numFmtId="0" fontId="16" fillId="0" borderId="0" xfId="9" applyFont="1" applyFill="1" applyAlignment="1">
      <alignment horizontal="center" vertical="center" wrapText="1"/>
    </xf>
    <xf numFmtId="0" fontId="5" fillId="4" borderId="6" xfId="9" applyFont="1" applyBorder="1" applyAlignment="1">
      <alignment horizontal="left" vertical="center" wrapText="1"/>
    </xf>
    <xf numFmtId="0" fontId="5" fillId="4" borderId="0" xfId="9" applyFont="1" applyAlignment="1">
      <alignment horizontal="left" vertical="center" wrapText="1"/>
    </xf>
    <xf numFmtId="0" fontId="15" fillId="0" borderId="4" xfId="0" applyFont="1" applyBorder="1" applyAlignment="1">
      <alignment horizontal="left" vertical="center"/>
    </xf>
    <xf numFmtId="0" fontId="14" fillId="0" borderId="0" xfId="2" applyFont="1">
      <alignment horizontal="right" vertical="center"/>
    </xf>
    <xf numFmtId="0" fontId="0" fillId="0" borderId="0" xfId="0">
      <alignment horizontal="left" vertical="center" wrapText="1" indent="1"/>
    </xf>
    <xf numFmtId="165" fontId="0" fillId="0" borderId="0" xfId="17" applyFont="1">
      <alignment horizontal="left" vertical="top" indent="1"/>
    </xf>
    <xf numFmtId="0" fontId="9" fillId="0" borderId="0" xfId="10">
      <alignment horizontal="left" vertical="top" wrapText="1" indent="1"/>
    </xf>
    <xf numFmtId="0" fontId="13" fillId="7" borderId="8" xfId="6" applyFont="1" applyFill="1" applyBorder="1" applyAlignment="1">
      <alignment horizontal="left" wrapText="1"/>
    </xf>
    <xf numFmtId="0" fontId="13" fillId="7" borderId="11" xfId="6" applyFont="1" applyFill="1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3" fillId="7" borderId="8" xfId="6" applyFont="1" applyFill="1" applyBorder="1" applyAlignment="1">
      <alignment horizontal="left" wrapText="1"/>
    </xf>
    <xf numFmtId="0" fontId="13" fillId="7" borderId="10" xfId="6" applyFont="1" applyFill="1" applyBorder="1" applyAlignment="1">
      <alignment horizontal="left" wrapText="1"/>
    </xf>
    <xf numFmtId="0" fontId="0" fillId="0" borderId="0" xfId="7" applyNumberFormat="1" applyFont="1" applyAlignment="1">
      <alignment horizontal="right" vertical="top" wrapText="1"/>
    </xf>
  </cellXfs>
  <cellStyles count="21">
    <cellStyle name="Comma" xfId="12" builtinId="3" customBuiltin="1"/>
    <cellStyle name="Currency" xfId="13" builtinId="4" customBuiltin="1"/>
    <cellStyle name="Currency [0]" xfId="14" builtinId="7" customBuiltin="1"/>
    <cellStyle name="Date" xfId="16" xr:uid="{00000000-0005-0000-0000-000003000000}"/>
    <cellStyle name="Followed Hyperlink" xfId="11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0" builtinId="8" customBuiltin="1"/>
    <cellStyle name="Icon" xfId="20" xr:uid="{00000000-0005-0000-0000-00000A000000}"/>
    <cellStyle name="Input" xfId="15" builtinId="20" customBuiltin="1"/>
    <cellStyle name="InvoiceDetails" xfId="7" xr:uid="{00000000-0005-0000-0000-00000C000000}"/>
    <cellStyle name="Normal" xfId="0" builtinId="0" customBuiltin="1"/>
    <cellStyle name="Note" xfId="9" builtinId="10" customBuiltin="1"/>
    <cellStyle name="Percent" xfId="1" builtinId="5" customBuiltin="1"/>
    <cellStyle name="Phone" xfId="17" xr:uid="{00000000-0005-0000-0000-000010000000}"/>
    <cellStyle name="Right Indent" xfId="19" xr:uid="{00000000-0005-0000-0000-000011000000}"/>
    <cellStyle name="Tax Rate" xfId="18" xr:uid="{00000000-0005-0000-0000-000012000000}"/>
    <cellStyle name="Title" xfId="2" builtinId="15" customBuiltin="1"/>
    <cellStyle name="Total" xfId="8" builtinId="25" customBuiltin="1"/>
  </cellStyles>
  <dxfs count="9">
    <dxf>
      <font>
        <color theme="6" tint="0.79998168889431442"/>
      </font>
    </dxf>
    <dxf>
      <font>
        <color theme="0"/>
      </font>
    </dxf>
    <dxf>
      <font>
        <color theme="2" tint="-9.9948118533890809E-2"/>
      </font>
    </dxf>
    <dxf>
      <font>
        <color theme="6" tint="0.79998168889431442"/>
      </font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5"/>
      </font>
      <border>
        <top style="double">
          <color theme="5"/>
        </top>
      </border>
    </dxf>
    <dxf>
      <font>
        <b/>
        <i val="0"/>
        <strike val="0"/>
        <color theme="0"/>
      </font>
      <fill>
        <patternFill patternType="solid">
          <fgColor theme="5"/>
          <bgColor theme="5"/>
        </patternFill>
      </fill>
    </dxf>
    <dxf>
      <font>
        <color theme="3"/>
      </font>
      <border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</dxfs>
  <tableStyles count="1" defaultTableStyle="Sales Invoice" defaultPivotStyle="PivotStyleLight16">
    <tableStyle name="Sales Invoice" pivot="0" count="5" xr9:uid="{00000000-0011-0000-FFFF-FFFF00000000}">
      <tableStyleElement type="wholeTable" dxfId="8"/>
      <tableStyleElement type="headerRow" dxfId="7"/>
      <tableStyleElement type="totalRow" dxfId="6"/>
      <tableStyleElement type="firstRowStripe" dxfId="5"/>
      <tableStyleElement type="firstColumn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190499</xdr:colOff>
      <xdr:row>1</xdr:row>
      <xdr:rowOff>146307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20CA8A-6180-497F-8BBF-F5AFFDC1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26" y="0"/>
          <a:ext cx="1316934" cy="916590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larit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atMod val="180000"/>
              </a:schemeClr>
            </a:gs>
            <a:gs pos="40000">
              <a:schemeClr val="phClr">
                <a:tint val="95000"/>
                <a:shade val="85000"/>
                <a:satMod val="150000"/>
              </a:schemeClr>
            </a:gs>
            <a:gs pos="100000">
              <a:schemeClr val="phClr">
                <a:shade val="45000"/>
                <a:satMod val="20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55000"/>
              </a:schemeClr>
              <a:schemeClr val="phClr">
                <a:tint val="97000"/>
                <a:satMod val="95000"/>
              </a:schemeClr>
            </a:duotone>
          </a:blip>
          <a:tile tx="0" ty="0" sx="70000" sy="7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grams@mana-organ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B1:G30"/>
  <sheetViews>
    <sheetView showGridLines="0" tabSelected="1" view="pageLayout" topLeftCell="A11" zoomScale="70" zoomScaleNormal="145" zoomScalePageLayoutView="70" workbookViewId="0">
      <selection activeCell="E9" sqref="E9:F13"/>
    </sheetView>
  </sheetViews>
  <sheetFormatPr defaultColWidth="9.25" defaultRowHeight="30" customHeight="1" x14ac:dyDescent="0.2"/>
  <cols>
    <col min="1" max="1" width="1.125" customWidth="1"/>
    <col min="2" max="2" width="14.5" customWidth="1"/>
    <col min="3" max="3" width="12.375" customWidth="1"/>
    <col min="4" max="4" width="55.875" customWidth="1"/>
    <col min="5" max="5" width="16.75" customWidth="1"/>
    <col min="6" max="6" width="16.25" customWidth="1"/>
    <col min="7" max="7" width="2.625" customWidth="1"/>
  </cols>
  <sheetData>
    <row r="1" spans="2:6" ht="60.75" customHeight="1" x14ac:dyDescent="0.2">
      <c r="B1" s="47"/>
      <c r="C1" s="47"/>
      <c r="D1" s="46" t="s">
        <v>8</v>
      </c>
      <c r="E1" s="46"/>
      <c r="F1" s="46"/>
    </row>
    <row r="2" spans="2:6" ht="14.25" customHeight="1" x14ac:dyDescent="0.2">
      <c r="B2" t="s">
        <v>18</v>
      </c>
      <c r="D2" s="37"/>
      <c r="E2" s="38" t="s">
        <v>0</v>
      </c>
      <c r="F2" s="1">
        <f ca="1">TODAY()</f>
        <v>46005</v>
      </c>
    </row>
    <row r="3" spans="2:6" ht="15.75" customHeight="1" x14ac:dyDescent="0.2">
      <c r="B3" s="47" t="s">
        <v>20</v>
      </c>
      <c r="C3" s="47"/>
      <c r="E3" s="38" t="s">
        <v>1</v>
      </c>
      <c r="F3" s="36"/>
    </row>
    <row r="4" spans="2:6" ht="15.75" customHeight="1" x14ac:dyDescent="0.2">
      <c r="B4" s="47" t="s">
        <v>21</v>
      </c>
      <c r="C4" s="47"/>
      <c r="E4" s="38" t="s">
        <v>7</v>
      </c>
      <c r="F4" s="57"/>
    </row>
    <row r="5" spans="2:6" ht="15.75" customHeight="1" x14ac:dyDescent="0.2">
      <c r="B5" s="48" t="s">
        <v>19</v>
      </c>
      <c r="C5" s="48"/>
      <c r="E5" s="38"/>
      <c r="F5" s="57"/>
    </row>
    <row r="6" spans="2:6" ht="15.75" customHeight="1" x14ac:dyDescent="0.2">
      <c r="B6" s="49" t="s">
        <v>10</v>
      </c>
      <c r="C6" s="49"/>
      <c r="F6" s="57"/>
    </row>
    <row r="7" spans="2:6" ht="14.25" customHeight="1" x14ac:dyDescent="0.2"/>
    <row r="8" spans="2:6" ht="20.100000000000001" customHeight="1" x14ac:dyDescent="0.25">
      <c r="B8" s="56" t="s">
        <v>22</v>
      </c>
      <c r="C8" s="50"/>
      <c r="D8" s="55" t="s">
        <v>23</v>
      </c>
      <c r="E8" s="50" t="s">
        <v>24</v>
      </c>
      <c r="F8" s="51"/>
    </row>
    <row r="9" spans="2:6" ht="15.75" customHeight="1" x14ac:dyDescent="0.2">
      <c r="B9" s="52"/>
      <c r="C9" s="52"/>
      <c r="D9" s="40" t="s">
        <v>13</v>
      </c>
      <c r="E9" s="52"/>
      <c r="F9" s="52"/>
    </row>
    <row r="10" spans="2:6" ht="15.95" customHeight="1" x14ac:dyDescent="0.2">
      <c r="B10" s="53"/>
      <c r="C10" s="53"/>
      <c r="D10" s="53"/>
      <c r="E10" s="54"/>
      <c r="F10" s="54"/>
    </row>
    <row r="11" spans="2:6" ht="15.95" customHeight="1" x14ac:dyDescent="0.2">
      <c r="B11" s="53"/>
      <c r="C11" s="53"/>
      <c r="D11" s="53"/>
      <c r="E11" s="54"/>
      <c r="F11" s="54"/>
    </row>
    <row r="12" spans="2:6" ht="15.95" customHeight="1" x14ac:dyDescent="0.2">
      <c r="B12" s="53"/>
      <c r="C12" s="53"/>
      <c r="D12" s="53"/>
      <c r="E12" s="54"/>
      <c r="F12" s="54"/>
    </row>
    <row r="13" spans="2:6" ht="15.95" customHeight="1" x14ac:dyDescent="0.2">
      <c r="B13" s="53"/>
      <c r="C13" s="53"/>
      <c r="D13" s="53"/>
      <c r="E13" s="54"/>
      <c r="F13" s="54"/>
    </row>
    <row r="14" spans="2:6" ht="27.2" customHeight="1" x14ac:dyDescent="0.2">
      <c r="B14" s="41"/>
      <c r="C14" s="41"/>
    </row>
    <row r="15" spans="2:6" ht="29.45" customHeight="1" x14ac:dyDescent="0.2">
      <c r="B15" s="10" t="s">
        <v>2</v>
      </c>
      <c r="C15" s="30" t="s">
        <v>15</v>
      </c>
      <c r="D15" s="26" t="s">
        <v>6</v>
      </c>
      <c r="E15" s="11" t="s">
        <v>3</v>
      </c>
      <c r="F15" s="12" t="s">
        <v>4</v>
      </c>
    </row>
    <row r="16" spans="2:6" ht="30" customHeight="1" x14ac:dyDescent="0.2">
      <c r="B16" s="13"/>
      <c r="C16" s="31"/>
      <c r="D16" s="39"/>
      <c r="E16" s="14"/>
      <c r="F16" s="19">
        <f>E16*B16</f>
        <v>0</v>
      </c>
    </row>
    <row r="17" spans="2:7" ht="30" customHeight="1" x14ac:dyDescent="0.2">
      <c r="B17" s="15"/>
      <c r="C17" s="33"/>
      <c r="D17" s="34"/>
      <c r="E17" s="16"/>
      <c r="F17" s="20">
        <f t="shared" ref="F17:F24" si="0">E17*B17</f>
        <v>0</v>
      </c>
    </row>
    <row r="18" spans="2:7" ht="30" customHeight="1" x14ac:dyDescent="0.2">
      <c r="B18" s="13"/>
      <c r="C18" s="22"/>
      <c r="D18" s="22"/>
      <c r="E18" s="14"/>
      <c r="F18" s="19">
        <f t="shared" si="0"/>
        <v>0</v>
      </c>
    </row>
    <row r="19" spans="2:7" ht="30" customHeight="1" x14ac:dyDescent="0.2">
      <c r="B19" s="15"/>
      <c r="C19" s="27"/>
      <c r="D19" s="27"/>
      <c r="E19" s="16"/>
      <c r="F19" s="20">
        <f t="shared" si="0"/>
        <v>0</v>
      </c>
    </row>
    <row r="20" spans="2:7" ht="30" customHeight="1" x14ac:dyDescent="0.2">
      <c r="B20" s="13"/>
      <c r="C20" s="22"/>
      <c r="D20" s="22"/>
      <c r="E20" s="14"/>
      <c r="F20" s="19">
        <f t="shared" si="0"/>
        <v>0</v>
      </c>
    </row>
    <row r="21" spans="2:7" ht="30" customHeight="1" x14ac:dyDescent="0.2">
      <c r="B21" s="15"/>
      <c r="C21" s="23"/>
      <c r="D21" s="23"/>
      <c r="E21" s="16"/>
      <c r="F21" s="20">
        <f t="shared" si="0"/>
        <v>0</v>
      </c>
    </row>
    <row r="22" spans="2:7" ht="30" customHeight="1" x14ac:dyDescent="0.2">
      <c r="B22" s="13"/>
      <c r="C22" s="24"/>
      <c r="D22" s="24"/>
      <c r="E22" s="14"/>
      <c r="F22" s="19">
        <f t="shared" si="0"/>
        <v>0</v>
      </c>
    </row>
    <row r="23" spans="2:7" ht="30" customHeight="1" x14ac:dyDescent="0.2">
      <c r="B23" s="15"/>
      <c r="C23" s="23"/>
      <c r="D23" s="23"/>
      <c r="E23" s="16"/>
      <c r="F23" s="20">
        <f t="shared" si="0"/>
        <v>0</v>
      </c>
    </row>
    <row r="24" spans="2:7" ht="30" customHeight="1" thickBot="1" x14ac:dyDescent="0.25">
      <c r="B24" s="17"/>
      <c r="C24" s="25"/>
      <c r="D24" s="25"/>
      <c r="E24" s="18"/>
      <c r="F24" s="21">
        <f t="shared" si="0"/>
        <v>0</v>
      </c>
    </row>
    <row r="25" spans="2:7" ht="30" customHeight="1" thickTop="1" x14ac:dyDescent="0.2">
      <c r="B25" s="5" t="s">
        <v>5</v>
      </c>
      <c r="C25" s="45"/>
      <c r="D25" s="45"/>
      <c r="E25" s="4"/>
      <c r="F25" s="8">
        <f>SUBTOTAL(109,Invoice!$F$16:$F$24)</f>
        <v>0</v>
      </c>
      <c r="G25" s="6"/>
    </row>
    <row r="26" spans="2:7" ht="30" customHeight="1" x14ac:dyDescent="0.2">
      <c r="B26" s="43" t="s">
        <v>11</v>
      </c>
      <c r="C26" s="43"/>
      <c r="D26" s="43"/>
      <c r="E26" s="9" t="s">
        <v>12</v>
      </c>
      <c r="F26" s="28">
        <f>3.55*SUM(B16:B24)</f>
        <v>0</v>
      </c>
      <c r="G26" s="6"/>
    </row>
    <row r="27" spans="2:7" ht="30" customHeight="1" x14ac:dyDescent="0.2">
      <c r="B27" s="44"/>
      <c r="C27" s="44"/>
      <c r="D27" s="44"/>
      <c r="E27" s="2"/>
      <c r="F27" s="7"/>
      <c r="G27" s="6"/>
    </row>
    <row r="28" spans="2:7" ht="30" customHeight="1" x14ac:dyDescent="0.2">
      <c r="B28" s="44"/>
      <c r="C28" s="44"/>
      <c r="D28" s="44"/>
      <c r="E28" s="32" t="s">
        <v>17</v>
      </c>
      <c r="F28" s="35"/>
      <c r="G28" s="6"/>
    </row>
    <row r="29" spans="2:7" ht="30" customHeight="1" x14ac:dyDescent="0.2">
      <c r="B29" s="44"/>
      <c r="C29" s="44"/>
      <c r="D29" s="44"/>
      <c r="E29" s="32" t="s">
        <v>16</v>
      </c>
      <c r="F29" s="29">
        <f>SUM(F25:F28)</f>
        <v>0</v>
      </c>
      <c r="G29" s="6"/>
    </row>
    <row r="30" spans="2:7" ht="30" customHeight="1" x14ac:dyDescent="0.2">
      <c r="B30" s="3" t="s">
        <v>9</v>
      </c>
      <c r="C30" s="3" t="s">
        <v>14</v>
      </c>
      <c r="D30" s="3"/>
      <c r="E30" s="42"/>
      <c r="F30" s="42"/>
    </row>
  </sheetData>
  <sheetProtection selectLockedCells="1"/>
  <mergeCells count="16">
    <mergeCell ref="F4:F6"/>
    <mergeCell ref="E8:F8"/>
    <mergeCell ref="B9:C13"/>
    <mergeCell ref="E9:F13"/>
    <mergeCell ref="D10:D13"/>
    <mergeCell ref="B14:C14"/>
    <mergeCell ref="E30:F30"/>
    <mergeCell ref="B26:D29"/>
    <mergeCell ref="C25:D25"/>
    <mergeCell ref="D1:F1"/>
    <mergeCell ref="B1:C1"/>
    <mergeCell ref="B3:C3"/>
    <mergeCell ref="B4:C4"/>
    <mergeCell ref="B5:C5"/>
    <mergeCell ref="B8:C8"/>
    <mergeCell ref="B6:C6"/>
  </mergeCells>
  <conditionalFormatting sqref="F16:F18">
    <cfRule type="cellIs" dxfId="3" priority="1" operator="equal">
      <formula>0</formula>
    </cfRule>
  </conditionalFormatting>
  <conditionalFormatting sqref="F16:F19">
    <cfRule type="cellIs" dxfId="2" priority="4" operator="equal">
      <formula>0</formula>
    </cfRule>
  </conditionalFormatting>
  <conditionalFormatting sqref="F17 F19 F21 F23">
    <cfRule type="cellIs" dxfId="1" priority="3" operator="equal">
      <formula>0</formula>
    </cfRule>
  </conditionalFormatting>
  <conditionalFormatting sqref="F20 F22 F24">
    <cfRule type="cellIs" dxfId="0" priority="2" operator="equal">
      <formula>0</formula>
    </cfRule>
  </conditionalFormatting>
  <dataValidations count="30">
    <dataValidation allowBlank="1" showInputMessage="1" showErrorMessage="1" prompt="Add Company name at the end of this statement between &lt;&gt;" sqref="B26" xr:uid="{00000000-0002-0000-0000-000000000000}"/>
    <dataValidation allowBlank="1" showInputMessage="1" showErrorMessage="1" prompt="Balance due is automatically calculated in cell at right" sqref="E29" xr:uid="{00000000-0002-0000-0000-000001000000}"/>
    <dataValidation allowBlank="1" showInputMessage="1" showErrorMessage="1" prompt="Balance due is automatically calculated in this cell" sqref="F29" xr:uid="{00000000-0002-0000-0000-000002000000}"/>
    <dataValidation allowBlank="1" showInputMessage="1" showErrorMessage="1" prompt="Enter Additional discount percent in cell at right" sqref="E28" xr:uid="{00000000-0002-0000-0000-000003000000}"/>
    <dataValidation allowBlank="1" showInputMessage="1" showErrorMessage="1" prompt="Enter Additional discount percent in this cell" sqref="F28" xr:uid="{00000000-0002-0000-0000-000004000000}"/>
    <dataValidation allowBlank="1" showInputMessage="1" showErrorMessage="1" prompt="Enter Credit amount in cell at right" sqref="E26" xr:uid="{00000000-0002-0000-0000-000005000000}"/>
    <dataValidation allowBlank="1" showInputMessage="1" showErrorMessage="1" prompt="Enter Credit amount in this cell" sqref="F26" xr:uid="{00000000-0002-0000-0000-000006000000}"/>
    <dataValidation allowBlank="1" showInputMessage="1" showErrorMessage="1" prompt="Enter Tax rate in this cell" sqref="F27" xr:uid="{00000000-0002-0000-0000-000007000000}"/>
    <dataValidation allowBlank="1" showInputMessage="1" showErrorMessage="1" prompt="Enter Tax rate in cell at right" sqref="E27" xr:uid="{00000000-0002-0000-0000-000008000000}"/>
    <dataValidation allowBlank="1" showInputMessage="1" showErrorMessage="1" prompt="Amount is automatically updated in this column under this heading" sqref="F15" xr:uid="{00000000-0002-0000-0000-000009000000}"/>
    <dataValidation allowBlank="1" showInputMessage="1" showErrorMessage="1" prompt="Enter Unit price in this column under this heading" sqref="E15" xr:uid="{00000000-0002-0000-0000-00000A000000}"/>
    <dataValidation allowBlank="1" showInputMessage="1" showErrorMessage="1" prompt="Enter Description in this column under this heading" sqref="C15:D15" xr:uid="{00000000-0002-0000-0000-00000B000000}"/>
    <dataValidation allowBlank="1" showInputMessage="1" showErrorMessage="1" prompt="Enter Quantity in this column under this heading. Use heading filters to find specific entries" sqref="B15" xr:uid="{00000000-0002-0000-0000-00000C000000}"/>
    <dataValidation allowBlank="1" showInputMessage="1" showErrorMessage="1" prompt="Enter Bill To details in cells below. Enter minimum amount for Items to qualify for an additional discount in cell F8 and additional discount percent in cell F10" sqref="B8 D8:E8" xr:uid="{00000000-0002-0000-0000-00000F000000}"/>
    <dataValidation allowBlank="1" showInputMessage="1" showErrorMessage="1" prompt="Enter customer Company name in this cell" sqref="B9" xr:uid="{00000000-0002-0000-0000-000011000000}"/>
    <dataValidation allowBlank="1" showInputMessage="1" showErrorMessage="1" prompt="Enter customer Phone number in this cell" sqref="B14" xr:uid="{00000000-0002-0000-0000-000014000000}"/>
    <dataValidation allowBlank="1" showInputMessage="1" showErrorMessage="1" prompt="Enter invoicing company Street Address in this cell" sqref="B3:C3" xr:uid="{00000000-0002-0000-0000-000015000000}"/>
    <dataValidation allowBlank="1" showInputMessage="1" showErrorMessage="1" prompt="Enter City, State, and Zip Code in this cell" sqref="B4:C4" xr:uid="{00000000-0002-0000-0000-000016000000}"/>
    <dataValidation allowBlank="1" showInputMessage="1" showErrorMessage="1" prompt="Enter Phone number in this cell" sqref="B5:C5" xr:uid="{00000000-0002-0000-0000-000017000000}"/>
    <dataValidation allowBlank="1" showInputMessage="1" showErrorMessage="1" prompt="Enter company email in this cell" sqref="B6:C6" xr:uid="{00000000-0002-0000-0000-000018000000}"/>
    <dataValidation allowBlank="1" showInputMessage="1" showErrorMessage="1" prompt="Enter invoice Date in cell at right" sqref="E2" xr:uid="{00000000-0002-0000-0000-000019000000}"/>
    <dataValidation allowBlank="1" showInputMessage="1" showErrorMessage="1" prompt="Enter Invoice Number in cell at right" sqref="E3" xr:uid="{00000000-0002-0000-0000-00001A000000}"/>
    <dataValidation allowBlank="1" showInputMessage="1" showErrorMessage="1" prompt="Enter invoice product description in cell at right" sqref="E4:E5" xr:uid="{00000000-0002-0000-0000-00001B000000}"/>
    <dataValidation allowBlank="1" showInputMessage="1" showErrorMessage="1" prompt="Enter invoice product description in this cell" sqref="F4" xr:uid="{00000000-0002-0000-0000-00001C000000}"/>
    <dataValidation allowBlank="1" showInputMessage="1" showErrorMessage="1" prompt="Enter Invoice Number in this cell" sqref="F3" xr:uid="{00000000-0002-0000-0000-00001D000000}"/>
    <dataValidation allowBlank="1" showInputMessage="1" showErrorMessage="1" prompt="Enter invoice Date in this cell" sqref="F2" xr:uid="{00000000-0002-0000-0000-00001E000000}"/>
    <dataValidation allowBlank="1" showInputMessage="1" showErrorMessage="1" prompt="Add company logo in this cell, company address, phone number, fax number, and email in cells below. Enter Bill To details in cells B8 to B12" sqref="B1:C2" xr:uid="{00000000-0002-0000-0000-000021000000}"/>
    <dataValidation allowBlank="1" showInputMessage="1" showErrorMessage="1" prompt="Create a Sales invoice in this worksheet. Add company logo in cell at right and invoice details in InvoiceDetails table starting cell B13. Balance due is automatically calculated" sqref="A1:A2" xr:uid="{00000000-0002-0000-0000-000022000000}"/>
    <dataValidation allowBlank="1" showInputMessage="1" showErrorMessage="1" prompt="Title of the worksheet is in this cell. Enter Invoice Date, Invoice number, and Invoice product description in cells E2 to F5" sqref="D1:D2" xr:uid="{00000000-0002-0000-0000-000023000000}"/>
    <dataValidation allowBlank="1" showInputMessage="1" showErrorMessage="1" prompt="Enter amount over which the Items qualify for an additional discount in cell at right" sqref="D9" xr:uid="{458607A4-CA04-4A63-8F2D-352D7B7F9B60}"/>
  </dataValidations>
  <hyperlinks>
    <hyperlink ref="B6" r:id="rId1" xr:uid="{00000000-0004-0000-0000-000000000000}"/>
  </hyperlinks>
  <printOptions horizontalCentered="1"/>
  <pageMargins left="0.25" right="0.25" top="0.5" bottom="0.5" header="0.3" footer="0.3"/>
  <pageSetup scale="78" fitToHeight="0" orientation="portrait" r:id="rId2"/>
  <headerFooter differentFirst="1">
    <oddFooter>&amp;CPage &amp;P of 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FF04-B610-4E9B-97D8-1F482ACC333D}">
  <dimension ref="B3"/>
  <sheetViews>
    <sheetView workbookViewId="0">
      <selection activeCell="B4" sqref="B4"/>
    </sheetView>
  </sheetViews>
  <sheetFormatPr defaultRowHeight="14.25" x14ac:dyDescent="0.2"/>
  <sheetData>
    <row r="3" spans="2:2" x14ac:dyDescent="0.2"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Invoice</vt:lpstr>
      <vt:lpstr>Sheet1</vt:lpstr>
      <vt:lpstr>Additional_discount</vt:lpstr>
      <vt:lpstr>AmountForDiscount</vt:lpstr>
      <vt:lpstr>Bill_To_address</vt:lpstr>
      <vt:lpstr>ColumnTitle1</vt:lpstr>
      <vt:lpstr>ColumnTitleRegion1..B12.1</vt:lpstr>
      <vt:lpstr>Credit</vt:lpstr>
      <vt:lpstr>Current_Amount_Due</vt:lpstr>
      <vt:lpstr>Date</vt:lpstr>
      <vt:lpstr>Discount</vt:lpstr>
      <vt:lpstr>DiscountPercent</vt:lpstr>
      <vt:lpstr>Invoice_num</vt:lpstr>
      <vt:lpstr>Paid</vt:lpstr>
      <vt:lpstr>PO_num</vt:lpstr>
      <vt:lpstr>Invoice!Print_Titles</vt:lpstr>
      <vt:lpstr>Quantity_1</vt:lpstr>
      <vt:lpstr>Quantity_2</vt:lpstr>
      <vt:lpstr>Quantity_3</vt:lpstr>
      <vt:lpstr>Quantity_4</vt:lpstr>
      <vt:lpstr>RowTitleRegion1..F4</vt:lpstr>
      <vt:lpstr>RowTitleRegion2..F10</vt:lpstr>
      <vt:lpstr>RowTitleRegion3..E29</vt:lpstr>
      <vt:lpstr>Ship_To__If_different_than_billing</vt:lpstr>
      <vt:lpstr>Shipping</vt:lpstr>
      <vt:lpstr>subtotal</vt:lpstr>
      <vt:lpstr>Tax</vt:lpstr>
      <vt:lpstr>tracking_terms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Grams</dc:creator>
  <cp:lastModifiedBy>John Grams</cp:lastModifiedBy>
  <cp:lastPrinted>2025-12-15T06:20:41Z</cp:lastPrinted>
  <dcterms:created xsi:type="dcterms:W3CDTF">2017-04-28T07:13:25Z</dcterms:created>
  <dcterms:modified xsi:type="dcterms:W3CDTF">2025-12-15T06:46:07Z</dcterms:modified>
</cp:coreProperties>
</file>